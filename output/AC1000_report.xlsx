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dnan Desktop\Finance\dropship-reconciliation-engine\output\"/>
    </mc:Choice>
  </mc:AlternateContent>
  <xr:revisionPtr revIDLastSave="0" documentId="13_ncr:1_{C0735DE3-BF01-446C-845B-73E6836C660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ummary" sheetId="1" r:id="rId1"/>
    <sheet name="Invoices" sheetId="2" r:id="rId2"/>
    <sheet name="Unapplied payments" sheetId="3" r:id="rId3"/>
    <sheet name="Deductions" sheetId="4" r:id="rId4"/>
    <sheet name="Rejected rows" sheetId="5" r:id="rId5"/>
  </sheets>
  <definedNames>
    <definedName name="_xlnm._FilterDatabase" localSheetId="3" hidden="1">Deductions!$A$1:$F$4</definedName>
    <definedName name="_xlnm._FilterDatabase" localSheetId="1" hidden="1">Invoices!$A$1:$K$29</definedName>
    <definedName name="_xlnm._FilterDatabase" localSheetId="4" hidden="1">'Rejected rows'!$A$1:$E$4</definedName>
    <definedName name="_xlnm._FilterDatabase" localSheetId="2" hidden="1">'Unapplied payments'!$A$1:$F$3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E10" i="1" s="1"/>
  <c r="D5" i="1"/>
  <c r="D10" i="1" s="1"/>
  <c r="C5" i="1"/>
  <c r="B5" i="1"/>
  <c r="B10" i="1" s="1"/>
  <c r="C10" i="1" l="1"/>
</calcChain>
</file>

<file path=xl/sharedStrings.xml><?xml version="1.0" encoding="utf-8"?>
<sst xmlns="http://schemas.openxmlformats.org/spreadsheetml/2006/main" count="199" uniqueCount="116">
  <si>
    <t>Reconciliation: AC1000, Home Improvement Retailer A (example)</t>
  </si>
  <si>
    <t>Tolerance $0.01 | PO suffix rule: [-_x]\d+$ | payments exported as negative: no</t>
  </si>
  <si>
    <t>Status</t>
  </si>
  <si>
    <t>Invoices</t>
  </si>
  <si>
    <t>Invoice amount</t>
  </si>
  <si>
    <t>Net paid</t>
  </si>
  <si>
    <t>Difference</t>
  </si>
  <si>
    <t>Paid</t>
  </si>
  <si>
    <t>Unpaid</t>
  </si>
  <si>
    <t>Short Pay</t>
  </si>
  <si>
    <t>Overpaid</t>
  </si>
  <si>
    <t>Duplicate</t>
  </si>
  <si>
    <t>Total</t>
  </si>
  <si>
    <t>Findings</t>
  </si>
  <si>
    <t>Owed to you (Unpaid + Short Pay)</t>
  </si>
  <si>
    <t>Excess received (Overpaid + Duplicate)</t>
  </si>
  <si>
    <t>Unapplied payments (no invoice)</t>
  </si>
  <si>
    <t>2 lines, $400.50</t>
  </si>
  <si>
    <t>Deductions taken</t>
  </si>
  <si>
    <t>3 lines, $68.00</t>
  </si>
  <si>
    <t>Short payments explained by deductions</t>
  </si>
  <si>
    <t>Row accounting</t>
  </si>
  <si>
    <t>Invoice rows read</t>
  </si>
  <si>
    <t xml:space="preserve">  used</t>
  </si>
  <si>
    <t xml:space="preserve">  rejected</t>
  </si>
  <si>
    <t>Payment rows read</t>
  </si>
  <si>
    <t>Every row accounted for</t>
  </si>
  <si>
    <t>PO</t>
  </si>
  <si>
    <t>Original PO</t>
  </si>
  <si>
    <t>Invoice date</t>
  </si>
  <si>
    <t>Received</t>
  </si>
  <si>
    <t>Deductions</t>
  </si>
  <si>
    <t>Payment lines</t>
  </si>
  <si>
    <t>Explained by deductions</t>
  </si>
  <si>
    <t>1000101</t>
  </si>
  <si>
    <t>2026-06-01</t>
  </si>
  <si>
    <t>Yes</t>
  </si>
  <si>
    <t>1000102</t>
  </si>
  <si>
    <t>2026-06-02</t>
  </si>
  <si>
    <t>1000103</t>
  </si>
  <si>
    <t>2026-06-03</t>
  </si>
  <si>
    <t>1000104</t>
  </si>
  <si>
    <t>2026-06-04</t>
  </si>
  <si>
    <t>1000105</t>
  </si>
  <si>
    <t>2026-06-05</t>
  </si>
  <si>
    <t>1000106</t>
  </si>
  <si>
    <t>2026-06-06</t>
  </si>
  <si>
    <t>1000107</t>
  </si>
  <si>
    <t>2026-06-07</t>
  </si>
  <si>
    <t>1000108</t>
  </si>
  <si>
    <t>2026-06-08</t>
  </si>
  <si>
    <t>1000109</t>
  </si>
  <si>
    <t>2026-06-09</t>
  </si>
  <si>
    <t>1000110</t>
  </si>
  <si>
    <t>2026-06-10</t>
  </si>
  <si>
    <t>1000111</t>
  </si>
  <si>
    <t>2026-06-11</t>
  </si>
  <si>
    <t>1000112</t>
  </si>
  <si>
    <t>2026-06-12</t>
  </si>
  <si>
    <t>1000113</t>
  </si>
  <si>
    <t>2026-06-13</t>
  </si>
  <si>
    <t>1000114</t>
  </si>
  <si>
    <t>2026-06-14</t>
  </si>
  <si>
    <t>1000115</t>
  </si>
  <si>
    <t>2026-06-15</t>
  </si>
  <si>
    <t>1000116</t>
  </si>
  <si>
    <t>2026-06-16</t>
  </si>
  <si>
    <t>1000117</t>
  </si>
  <si>
    <t>2026-06-17</t>
  </si>
  <si>
    <t>1000118</t>
  </si>
  <si>
    <t>2026-06-18</t>
  </si>
  <si>
    <t>1000119</t>
  </si>
  <si>
    <t>2026-06-19</t>
  </si>
  <si>
    <t>1000120</t>
  </si>
  <si>
    <t>2026-06-20</t>
  </si>
  <si>
    <t>1000121</t>
  </si>
  <si>
    <t>2026-06-21</t>
  </si>
  <si>
    <t>1000122</t>
  </si>
  <si>
    <t>2026-06-22</t>
  </si>
  <si>
    <t>1000123</t>
  </si>
  <si>
    <t>2026-06-23</t>
  </si>
  <si>
    <t>1000124</t>
  </si>
  <si>
    <t>2026-06-24</t>
  </si>
  <si>
    <t>1000125</t>
  </si>
  <si>
    <t>2026-06-25</t>
  </si>
  <si>
    <t>1000126</t>
  </si>
  <si>
    <t>2026-06-26</t>
  </si>
  <si>
    <t>1000127</t>
  </si>
  <si>
    <t>2026-06-27</t>
  </si>
  <si>
    <t>1000128</t>
  </si>
  <si>
    <t>File row</t>
  </si>
  <si>
    <t>Amount</t>
  </si>
  <si>
    <t>Date</t>
  </si>
  <si>
    <t>Description</t>
  </si>
  <si>
    <t>1999001</t>
  </si>
  <si>
    <t>Remittance, no order</t>
  </si>
  <si>
    <t>1999002-1</t>
  </si>
  <si>
    <t>1999002</t>
  </si>
  <si>
    <t>Category</t>
  </si>
  <si>
    <t>Has invoice</t>
  </si>
  <si>
    <t>Freight</t>
  </si>
  <si>
    <t>Freight deduction</t>
  </si>
  <si>
    <t>1999003</t>
  </si>
  <si>
    <t>Damaged goods</t>
  </si>
  <si>
    <t>Damaged goods claim</t>
  </si>
  <si>
    <t>Reason</t>
  </si>
  <si>
    <t>File</t>
  </si>
  <si>
    <t>1000999</t>
  </si>
  <si>
    <t>TBD</t>
  </si>
  <si>
    <t>amount is not a number: 'TBD'</t>
  </si>
  <si>
    <t>invoices</t>
  </si>
  <si>
    <t>N/A</t>
  </si>
  <si>
    <t>amount is not a number: 'N/A'</t>
  </si>
  <si>
    <t>payments</t>
  </si>
  <si>
    <t>$50.00</t>
  </si>
  <si>
    <t>missing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</si>
</sst>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5"/>
      <color rgb="FF1F3864"/>
      <name val="Arial"/>
    </font>
    <font>
      <i/>
      <sz val="9"/>
      <color rgb="FF595959"/>
      <name val="Arial"/>
    </font>
    <font>
      <b/>
      <sz val="10"/>
      <name val="Arial"/>
    </font>
    <font>
      <b/>
      <sz val="11"/>
      <color rgb="FF1F3864"/>
      <name val="Arial"/>
    </font>
    <font>
      <b/>
      <sz val="10"/>
      <color rgb="FF2E7D32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D9B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/>
    <xf numFmtId="3" fontId="0" fillId="0" borderId="0" xfId="0" applyNumberFormat="1"/>
    <xf numFmtId="164" fontId="0" fillId="0" borderId="0" xfId="0" applyNumberFormat="1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0" fontId="6" fillId="0" borderId="0" xfId="0" applyFont="1"/>
    <xf numFmtId="0" fontId="7" fillId="0" borderId="0" xfId="0" applyFont="1"/>
    <xf numFmtId="0" fontId="1" fillId="2" borderId="0" xfId="0" applyFont="1" applyFill="1" applyAlignment="1">
      <alignment horizontal="center" vertical="center" wrapText="1"/>
    </xf>
    <xf numFmtId="164" fontId="2" fillId="0" borderId="0" xfId="0" applyNumberFormat="1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showGridLines="0" workbookViewId="0"/>
  </sheetViews>
  <sheetFormatPr defaultRowHeight="15" x14ac:dyDescent="0.25"/>
  <cols>
    <col min="1" max="1" width="44" customWidth="1"/>
    <col min="2" max="2" width="22" customWidth="1"/>
    <col min="3" max="5" width="18" customWidth="1"/>
  </cols>
  <sheetData>
    <row r="1" spans="1:5" ht="19.5" x14ac:dyDescent="0.3">
      <c r="A1" s="1" t="s">
        <v>0</v>
      </c>
    </row>
    <row r="2" spans="1:5" x14ac:dyDescent="0.25">
      <c r="A2" s="2" t="s">
        <v>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5">
        <f>COUNTIF(Invoices!$J$2:$J$29,A5)</f>
        <v>14</v>
      </c>
      <c r="C5" s="6">
        <f>SUMIF(Invoices!$J$2:$J$29,A5,Invoices!$D$2:$D$29)</f>
        <v>11790.5</v>
      </c>
      <c r="D5" s="6">
        <f>SUMIF(Invoices!$J$2:$J$29,A5,Invoices!$G$2:$G$29)</f>
        <v>11790.5</v>
      </c>
      <c r="E5" s="6">
        <f>SUMIF(Invoices!$J$2:$J$29,A5,Invoices!$H$2:$H$29)</f>
        <v>0</v>
      </c>
    </row>
    <row r="6" spans="1:5" x14ac:dyDescent="0.25">
      <c r="A6" s="4" t="s">
        <v>8</v>
      </c>
      <c r="B6" s="5">
        <f>COUNTIF(Invoices!$J$2:$J$29,A6)</f>
        <v>4</v>
      </c>
      <c r="C6" s="6">
        <f>SUMIF(Invoices!$J$2:$J$29,A6,Invoices!$D$2:$D$29)</f>
        <v>4070.58</v>
      </c>
      <c r="D6" s="6">
        <f>SUMIF(Invoices!$J$2:$J$29,A6,Invoices!$G$2:$G$29)</f>
        <v>0</v>
      </c>
      <c r="E6" s="6">
        <f>SUMIF(Invoices!$J$2:$J$29,A6,Invoices!$H$2:$H$29)</f>
        <v>4070.58</v>
      </c>
    </row>
    <row r="7" spans="1:5" x14ac:dyDescent="0.25">
      <c r="A7" s="4" t="s">
        <v>9</v>
      </c>
      <c r="B7" s="5">
        <f>COUNTIF(Invoices!$J$2:$J$29,A7)</f>
        <v>5</v>
      </c>
      <c r="C7" s="6">
        <f>SUMIF(Invoices!$J$2:$J$29,A7,Invoices!$D$2:$D$29)</f>
        <v>5837.58</v>
      </c>
      <c r="D7" s="6">
        <f>SUMIF(Invoices!$J$2:$J$29,A7,Invoices!$G$2:$G$29)</f>
        <v>5126.34</v>
      </c>
      <c r="E7" s="6">
        <f>SUMIF(Invoices!$J$2:$J$29,A7,Invoices!$H$2:$H$29)</f>
        <v>711.24</v>
      </c>
    </row>
    <row r="8" spans="1:5" x14ac:dyDescent="0.25">
      <c r="A8" s="4" t="s">
        <v>10</v>
      </c>
      <c r="B8" s="5">
        <f>COUNTIF(Invoices!$J$2:$J$29,A8)</f>
        <v>3</v>
      </c>
      <c r="C8" s="6">
        <f>SUMIF(Invoices!$J$2:$J$29,A8,Invoices!$D$2:$D$29)</f>
        <v>1782.7499999999998</v>
      </c>
      <c r="D8" s="6">
        <f>SUMIF(Invoices!$J$2:$J$29,A8,Invoices!$G$2:$G$29)</f>
        <v>2050.1400000000003</v>
      </c>
      <c r="E8" s="6">
        <f>SUMIF(Invoices!$J$2:$J$29,A8,Invoices!$H$2:$H$29)</f>
        <v>-267.39000000000004</v>
      </c>
    </row>
    <row r="9" spans="1:5" x14ac:dyDescent="0.25">
      <c r="A9" s="4" t="s">
        <v>11</v>
      </c>
      <c r="B9" s="5">
        <f>COUNTIF(Invoices!$J$2:$J$29,A9)</f>
        <v>2</v>
      </c>
      <c r="C9" s="6">
        <f>SUMIF(Invoices!$J$2:$J$29,A9,Invoices!$D$2:$D$29)</f>
        <v>2254.29</v>
      </c>
      <c r="D9" s="6">
        <f>SUMIF(Invoices!$J$2:$J$29,A9,Invoices!$G$2:$G$29)</f>
        <v>4508.58</v>
      </c>
      <c r="E9" s="6">
        <f>SUMIF(Invoices!$J$2:$J$29,A9,Invoices!$H$2:$H$29)</f>
        <v>-2254.29</v>
      </c>
    </row>
    <row r="10" spans="1:5" x14ac:dyDescent="0.25">
      <c r="A10" s="7" t="s">
        <v>12</v>
      </c>
      <c r="B10" s="8">
        <f>SUM(B5:B9)</f>
        <v>28</v>
      </c>
      <c r="C10" s="9">
        <f>SUM(C5:C9)</f>
        <v>25735.7</v>
      </c>
      <c r="D10" s="9">
        <f>SUM(D5:D9)</f>
        <v>23475.559999999998</v>
      </c>
      <c r="E10" s="9">
        <f>SUM(E5:E9)</f>
        <v>2260.1399999999994</v>
      </c>
    </row>
    <row r="12" spans="1:5" x14ac:dyDescent="0.25">
      <c r="A12" s="10" t="s">
        <v>13</v>
      </c>
    </row>
    <row r="13" spans="1:5" x14ac:dyDescent="0.25">
      <c r="A13" s="4" t="s">
        <v>14</v>
      </c>
      <c r="B13" s="9">
        <v>4781.82</v>
      </c>
    </row>
    <row r="14" spans="1:5" x14ac:dyDescent="0.25">
      <c r="A14" s="4" t="s">
        <v>15</v>
      </c>
      <c r="B14" s="9">
        <v>2521.6799999999998</v>
      </c>
    </row>
    <row r="15" spans="1:5" x14ac:dyDescent="0.25">
      <c r="A15" s="4" t="s">
        <v>16</v>
      </c>
      <c r="B15" s="7" t="s">
        <v>17</v>
      </c>
    </row>
    <row r="16" spans="1:5" x14ac:dyDescent="0.25">
      <c r="A16" s="4" t="s">
        <v>18</v>
      </c>
      <c r="B16" s="7" t="s">
        <v>19</v>
      </c>
    </row>
    <row r="17" spans="1:2" x14ac:dyDescent="0.25">
      <c r="A17" s="4" t="s">
        <v>20</v>
      </c>
      <c r="B17" s="8">
        <f>COUNTIF(Invoices!$K$2:$K$29,"Yes")</f>
        <v>2</v>
      </c>
    </row>
    <row r="19" spans="1:2" x14ac:dyDescent="0.25">
      <c r="A19" s="10" t="s">
        <v>21</v>
      </c>
    </row>
    <row r="20" spans="1:2" x14ac:dyDescent="0.25">
      <c r="A20" s="4" t="s">
        <v>22</v>
      </c>
      <c r="B20" s="4">
        <v>29</v>
      </c>
    </row>
    <row r="21" spans="1:2" x14ac:dyDescent="0.25">
      <c r="A21" s="4" t="s">
        <v>23</v>
      </c>
      <c r="B21" s="4">
        <v>28</v>
      </c>
    </row>
    <row r="22" spans="1:2" x14ac:dyDescent="0.25">
      <c r="A22" s="4" t="s">
        <v>24</v>
      </c>
      <c r="B22" s="4">
        <v>1</v>
      </c>
    </row>
    <row r="23" spans="1:2" x14ac:dyDescent="0.25">
      <c r="A23" s="4" t="s">
        <v>25</v>
      </c>
      <c r="B23" s="4">
        <v>33</v>
      </c>
    </row>
    <row r="24" spans="1:2" x14ac:dyDescent="0.25">
      <c r="A24" s="4" t="s">
        <v>23</v>
      </c>
      <c r="B24" s="4">
        <v>31</v>
      </c>
    </row>
    <row r="25" spans="1:2" x14ac:dyDescent="0.25">
      <c r="A25" s="4" t="s">
        <v>24</v>
      </c>
      <c r="B25" s="4">
        <v>2</v>
      </c>
    </row>
    <row r="26" spans="1:2" x14ac:dyDescent="0.25">
      <c r="A26" s="1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7" customWidth="1"/>
    <col min="3" max="3" width="18" customWidth="1"/>
    <col min="4" max="4" width="20" customWidth="1"/>
    <col min="5" max="5" width="14" customWidth="1"/>
    <col min="6" max="6" width="16" customWidth="1"/>
    <col min="7" max="7" width="14" customWidth="1"/>
    <col min="8" max="8" width="16" customWidth="1"/>
    <col min="9" max="9" width="19" customWidth="1"/>
    <col min="10" max="10" width="12" customWidth="1"/>
    <col min="11" max="11" width="29" customWidth="1"/>
  </cols>
  <sheetData>
    <row r="1" spans="1:11" x14ac:dyDescent="0.25">
      <c r="A1" s="12" t="s">
        <v>27</v>
      </c>
      <c r="B1" s="12" t="s">
        <v>28</v>
      </c>
      <c r="C1" s="12" t="s">
        <v>29</v>
      </c>
      <c r="D1" s="12" t="s">
        <v>4</v>
      </c>
      <c r="E1" s="12" t="s">
        <v>30</v>
      </c>
      <c r="F1" s="12" t="s">
        <v>31</v>
      </c>
      <c r="G1" s="12" t="s">
        <v>5</v>
      </c>
      <c r="H1" s="12" t="s">
        <v>6</v>
      </c>
      <c r="I1" s="12" t="s">
        <v>32</v>
      </c>
      <c r="J1" s="12" t="s">
        <v>2</v>
      </c>
      <c r="K1" s="12" t="s">
        <v>33</v>
      </c>
    </row>
    <row r="2" spans="1:11" x14ac:dyDescent="0.25">
      <c r="A2" s="4" t="s">
        <v>34</v>
      </c>
      <c r="B2" s="4" t="s">
        <v>34</v>
      </c>
      <c r="C2" s="4" t="s">
        <v>35</v>
      </c>
      <c r="D2" s="13">
        <v>1425.11</v>
      </c>
      <c r="E2" s="13">
        <v>1425.11</v>
      </c>
      <c r="F2" s="13">
        <v>25</v>
      </c>
      <c r="G2" s="13">
        <v>1400.11</v>
      </c>
      <c r="H2" s="13">
        <v>25</v>
      </c>
      <c r="I2" s="4">
        <v>1</v>
      </c>
      <c r="J2" s="14" t="s">
        <v>9</v>
      </c>
      <c r="K2" s="4" t="s">
        <v>36</v>
      </c>
    </row>
    <row r="3" spans="1:11" x14ac:dyDescent="0.25">
      <c r="A3" s="4" t="s">
        <v>37</v>
      </c>
      <c r="B3" s="4" t="s">
        <v>37</v>
      </c>
      <c r="C3" s="4" t="s">
        <v>38</v>
      </c>
      <c r="D3" s="13">
        <v>205.58</v>
      </c>
      <c r="E3" s="13">
        <v>205.58</v>
      </c>
      <c r="F3" s="13">
        <v>0</v>
      </c>
      <c r="G3" s="13">
        <v>205.58</v>
      </c>
      <c r="H3" s="13">
        <v>0</v>
      </c>
      <c r="I3" s="4">
        <v>1</v>
      </c>
      <c r="J3" s="15" t="s">
        <v>7</v>
      </c>
      <c r="K3" s="4"/>
    </row>
    <row r="4" spans="1:11" x14ac:dyDescent="0.25">
      <c r="A4" s="4" t="s">
        <v>39</v>
      </c>
      <c r="B4" s="4" t="s">
        <v>39</v>
      </c>
      <c r="C4" s="4" t="s">
        <v>40</v>
      </c>
      <c r="D4" s="13">
        <v>196.1</v>
      </c>
      <c r="E4" s="13">
        <v>196.1</v>
      </c>
      <c r="F4" s="13">
        <v>0</v>
      </c>
      <c r="G4" s="13">
        <v>196.1</v>
      </c>
      <c r="H4" s="13">
        <v>0</v>
      </c>
      <c r="I4" s="4">
        <v>1</v>
      </c>
      <c r="J4" s="15" t="s">
        <v>7</v>
      </c>
      <c r="K4" s="4"/>
    </row>
    <row r="5" spans="1:11" x14ac:dyDescent="0.25">
      <c r="A5" s="4" t="s">
        <v>41</v>
      </c>
      <c r="B5" s="4" t="s">
        <v>41</v>
      </c>
      <c r="C5" s="4" t="s">
        <v>42</v>
      </c>
      <c r="D5" s="13">
        <v>133.46</v>
      </c>
      <c r="E5" s="13">
        <v>133.46</v>
      </c>
      <c r="F5" s="13">
        <v>0</v>
      </c>
      <c r="G5" s="13">
        <v>133.46</v>
      </c>
      <c r="H5" s="13">
        <v>0</v>
      </c>
      <c r="I5" s="4">
        <v>1</v>
      </c>
      <c r="J5" s="15" t="s">
        <v>7</v>
      </c>
      <c r="K5" s="4"/>
    </row>
    <row r="6" spans="1:11" x14ac:dyDescent="0.25">
      <c r="A6" s="4" t="s">
        <v>43</v>
      </c>
      <c r="B6" s="4" t="s">
        <v>43</v>
      </c>
      <c r="C6" s="4" t="s">
        <v>44</v>
      </c>
      <c r="D6" s="13">
        <v>538.61</v>
      </c>
      <c r="E6" s="13">
        <v>538.61</v>
      </c>
      <c r="F6" s="13">
        <v>0</v>
      </c>
      <c r="G6" s="13">
        <v>538.61</v>
      </c>
      <c r="H6" s="13">
        <v>0</v>
      </c>
      <c r="I6" s="4">
        <v>1</v>
      </c>
      <c r="J6" s="15" t="s">
        <v>7</v>
      </c>
      <c r="K6" s="4"/>
    </row>
    <row r="7" spans="1:11" x14ac:dyDescent="0.25">
      <c r="A7" s="4" t="s">
        <v>45</v>
      </c>
      <c r="B7" s="4" t="s">
        <v>45</v>
      </c>
      <c r="C7" s="4" t="s">
        <v>46</v>
      </c>
      <c r="D7" s="13">
        <v>674.23</v>
      </c>
      <c r="E7" s="13">
        <v>674.23</v>
      </c>
      <c r="F7" s="13">
        <v>0</v>
      </c>
      <c r="G7" s="13">
        <v>674.23</v>
      </c>
      <c r="H7" s="13">
        <v>0</v>
      </c>
      <c r="I7" s="4">
        <v>1</v>
      </c>
      <c r="J7" s="15" t="s">
        <v>7</v>
      </c>
      <c r="K7" s="4"/>
    </row>
    <row r="8" spans="1:11" x14ac:dyDescent="0.25">
      <c r="A8" s="4" t="s">
        <v>47</v>
      </c>
      <c r="B8" s="4" t="s">
        <v>47</v>
      </c>
      <c r="C8" s="4" t="s">
        <v>48</v>
      </c>
      <c r="D8" s="13">
        <v>1611.86</v>
      </c>
      <c r="E8" s="13">
        <v>1853.63</v>
      </c>
      <c r="F8" s="13">
        <v>0</v>
      </c>
      <c r="G8" s="13">
        <v>1853.63</v>
      </c>
      <c r="H8" s="13">
        <v>-241.77</v>
      </c>
      <c r="I8" s="4">
        <v>1</v>
      </c>
      <c r="J8" s="16" t="s">
        <v>10</v>
      </c>
      <c r="K8" s="4"/>
    </row>
    <row r="9" spans="1:11" x14ac:dyDescent="0.25">
      <c r="A9" s="4" t="s">
        <v>49</v>
      </c>
      <c r="B9" s="4" t="s">
        <v>49</v>
      </c>
      <c r="C9" s="4" t="s">
        <v>50</v>
      </c>
      <c r="D9" s="13">
        <v>118.85</v>
      </c>
      <c r="E9" s="13">
        <v>136.66999999999999</v>
      </c>
      <c r="F9" s="13">
        <v>0</v>
      </c>
      <c r="G9" s="13">
        <v>136.66999999999999</v>
      </c>
      <c r="H9" s="13">
        <v>-17.82</v>
      </c>
      <c r="I9" s="4">
        <v>1</v>
      </c>
      <c r="J9" s="16" t="s">
        <v>10</v>
      </c>
      <c r="K9" s="4"/>
    </row>
    <row r="10" spans="1:11" x14ac:dyDescent="0.25">
      <c r="A10" s="4" t="s">
        <v>51</v>
      </c>
      <c r="B10" s="4" t="s">
        <v>51</v>
      </c>
      <c r="C10" s="4" t="s">
        <v>52</v>
      </c>
      <c r="D10" s="13">
        <v>1256.17</v>
      </c>
      <c r="E10" s="13">
        <v>1004.93</v>
      </c>
      <c r="F10" s="13">
        <v>0</v>
      </c>
      <c r="G10" s="13">
        <v>1004.93</v>
      </c>
      <c r="H10" s="13">
        <v>251.24</v>
      </c>
      <c r="I10" s="4">
        <v>1</v>
      </c>
      <c r="J10" s="14" t="s">
        <v>9</v>
      </c>
      <c r="K10" s="4"/>
    </row>
    <row r="11" spans="1:11" x14ac:dyDescent="0.25">
      <c r="A11" s="4" t="s">
        <v>53</v>
      </c>
      <c r="B11" s="4" t="s">
        <v>53</v>
      </c>
      <c r="C11" s="4" t="s">
        <v>54</v>
      </c>
      <c r="D11" s="13">
        <v>895.35</v>
      </c>
      <c r="E11" s="13">
        <v>895.35</v>
      </c>
      <c r="F11" s="13">
        <v>0</v>
      </c>
      <c r="G11" s="13">
        <v>895.35</v>
      </c>
      <c r="H11" s="13">
        <v>0</v>
      </c>
      <c r="I11" s="4">
        <v>1</v>
      </c>
      <c r="J11" s="15" t="s">
        <v>7</v>
      </c>
      <c r="K11" s="4"/>
    </row>
    <row r="12" spans="1:11" x14ac:dyDescent="0.25">
      <c r="A12" s="4" t="s">
        <v>55</v>
      </c>
      <c r="B12" s="4" t="s">
        <v>55</v>
      </c>
      <c r="C12" s="4" t="s">
        <v>56</v>
      </c>
      <c r="D12" s="13">
        <v>1194.82</v>
      </c>
      <c r="E12" s="13">
        <v>1194.82</v>
      </c>
      <c r="F12" s="13">
        <v>0</v>
      </c>
      <c r="G12" s="13">
        <v>1194.82</v>
      </c>
      <c r="H12" s="13">
        <v>0</v>
      </c>
      <c r="I12" s="4">
        <v>1</v>
      </c>
      <c r="J12" s="15" t="s">
        <v>7</v>
      </c>
      <c r="K12" s="4"/>
    </row>
    <row r="13" spans="1:11" x14ac:dyDescent="0.25">
      <c r="A13" s="4" t="s">
        <v>57</v>
      </c>
      <c r="B13" s="4" t="s">
        <v>57</v>
      </c>
      <c r="C13" s="4" t="s">
        <v>58</v>
      </c>
      <c r="D13" s="13">
        <v>1589.16</v>
      </c>
      <c r="E13" s="13">
        <v>1589.16</v>
      </c>
      <c r="F13" s="13">
        <v>0</v>
      </c>
      <c r="G13" s="13">
        <v>1589.16</v>
      </c>
      <c r="H13" s="13">
        <v>0</v>
      </c>
      <c r="I13" s="4">
        <v>1</v>
      </c>
      <c r="J13" s="15" t="s">
        <v>7</v>
      </c>
      <c r="K13" s="4"/>
    </row>
    <row r="14" spans="1:11" x14ac:dyDescent="0.25">
      <c r="A14" s="4" t="s">
        <v>59</v>
      </c>
      <c r="B14" s="4" t="s">
        <v>59</v>
      </c>
      <c r="C14" s="4" t="s">
        <v>60</v>
      </c>
      <c r="D14" s="13">
        <v>552.02</v>
      </c>
      <c r="E14" s="13">
        <v>552.02</v>
      </c>
      <c r="F14" s="13">
        <v>0</v>
      </c>
      <c r="G14" s="13">
        <v>552.02</v>
      </c>
      <c r="H14" s="13">
        <v>0</v>
      </c>
      <c r="I14" s="4">
        <v>1</v>
      </c>
      <c r="J14" s="15" t="s">
        <v>7</v>
      </c>
      <c r="K14" s="4"/>
    </row>
    <row r="15" spans="1:11" x14ac:dyDescent="0.25">
      <c r="A15" s="4" t="s">
        <v>61</v>
      </c>
      <c r="B15" s="4" t="s">
        <v>61</v>
      </c>
      <c r="C15" s="4" t="s">
        <v>62</v>
      </c>
      <c r="D15" s="13">
        <v>1400.85</v>
      </c>
      <c r="E15" s="13">
        <v>1400.85</v>
      </c>
      <c r="F15" s="13">
        <v>0</v>
      </c>
      <c r="G15" s="13">
        <v>1400.85</v>
      </c>
      <c r="H15" s="13">
        <v>0</v>
      </c>
      <c r="I15" s="4">
        <v>1</v>
      </c>
      <c r="J15" s="15" t="s">
        <v>7</v>
      </c>
      <c r="K15" s="4"/>
    </row>
    <row r="16" spans="1:11" x14ac:dyDescent="0.25">
      <c r="A16" s="4" t="s">
        <v>63</v>
      </c>
      <c r="B16" s="4" t="s">
        <v>63</v>
      </c>
      <c r="C16" s="4" t="s">
        <v>64</v>
      </c>
      <c r="D16" s="13">
        <v>652.48</v>
      </c>
      <c r="E16" s="13">
        <v>652.48</v>
      </c>
      <c r="F16" s="13">
        <v>0</v>
      </c>
      <c r="G16" s="13">
        <v>652.48</v>
      </c>
      <c r="H16" s="13">
        <v>0</v>
      </c>
      <c r="I16" s="4">
        <v>1</v>
      </c>
      <c r="J16" s="15" t="s">
        <v>7</v>
      </c>
      <c r="K16" s="4"/>
    </row>
    <row r="17" spans="1:11" x14ac:dyDescent="0.25">
      <c r="A17" s="4" t="s">
        <v>65</v>
      </c>
      <c r="B17" s="4" t="s">
        <v>65</v>
      </c>
      <c r="C17" s="4" t="s">
        <v>66</v>
      </c>
      <c r="D17" s="13">
        <v>1718.48</v>
      </c>
      <c r="E17" s="13">
        <v>1718.48</v>
      </c>
      <c r="F17" s="13">
        <v>0</v>
      </c>
      <c r="G17" s="13">
        <v>1718.48</v>
      </c>
      <c r="H17" s="13">
        <v>0</v>
      </c>
      <c r="I17" s="4">
        <v>1</v>
      </c>
      <c r="J17" s="15" t="s">
        <v>7</v>
      </c>
      <c r="K17" s="4"/>
    </row>
    <row r="18" spans="1:11" x14ac:dyDescent="0.25">
      <c r="A18" s="4" t="s">
        <v>67</v>
      </c>
      <c r="B18" s="4" t="s">
        <v>67</v>
      </c>
      <c r="C18" s="4" t="s">
        <v>68</v>
      </c>
      <c r="D18" s="13">
        <v>811.1</v>
      </c>
      <c r="E18" s="13">
        <v>648.88</v>
      </c>
      <c r="F18" s="13">
        <v>0</v>
      </c>
      <c r="G18" s="13">
        <v>648.88</v>
      </c>
      <c r="H18" s="13">
        <v>162.22</v>
      </c>
      <c r="I18" s="4">
        <v>1</v>
      </c>
      <c r="J18" s="14" t="s">
        <v>9</v>
      </c>
      <c r="K18" s="4"/>
    </row>
    <row r="19" spans="1:11" x14ac:dyDescent="0.25">
      <c r="A19" s="4" t="s">
        <v>69</v>
      </c>
      <c r="B19" s="4" t="s">
        <v>69</v>
      </c>
      <c r="C19" s="4" t="s">
        <v>70</v>
      </c>
      <c r="D19" s="13">
        <v>1350.12</v>
      </c>
      <c r="E19" s="13">
        <v>0</v>
      </c>
      <c r="F19" s="13">
        <v>0</v>
      </c>
      <c r="G19" s="13">
        <v>0</v>
      </c>
      <c r="H19" s="13">
        <v>1350.12</v>
      </c>
      <c r="I19" s="4">
        <v>0</v>
      </c>
      <c r="J19" s="17" t="s">
        <v>8</v>
      </c>
      <c r="K19" s="4"/>
    </row>
    <row r="20" spans="1:11" x14ac:dyDescent="0.25">
      <c r="A20" s="4" t="s">
        <v>71</v>
      </c>
      <c r="B20" s="4" t="s">
        <v>71</v>
      </c>
      <c r="C20" s="4" t="s">
        <v>72</v>
      </c>
      <c r="D20" s="13">
        <v>52.04</v>
      </c>
      <c r="E20" s="13">
        <v>59.84</v>
      </c>
      <c r="F20" s="13">
        <v>0</v>
      </c>
      <c r="G20" s="13">
        <v>59.84</v>
      </c>
      <c r="H20" s="13">
        <v>-7.8</v>
      </c>
      <c r="I20" s="4">
        <v>1</v>
      </c>
      <c r="J20" s="16" t="s">
        <v>10</v>
      </c>
      <c r="K20" s="4"/>
    </row>
    <row r="21" spans="1:11" x14ac:dyDescent="0.25">
      <c r="A21" s="4" t="s">
        <v>73</v>
      </c>
      <c r="B21" s="4" t="s">
        <v>73</v>
      </c>
      <c r="C21" s="4" t="s">
        <v>74</v>
      </c>
      <c r="D21" s="13">
        <v>1776.57</v>
      </c>
      <c r="E21" s="13">
        <v>1776.57</v>
      </c>
      <c r="F21" s="13">
        <v>0</v>
      </c>
      <c r="G21" s="13">
        <v>1776.57</v>
      </c>
      <c r="H21" s="13">
        <v>0</v>
      </c>
      <c r="I21" s="4">
        <v>1</v>
      </c>
      <c r="J21" s="15" t="s">
        <v>7</v>
      </c>
      <c r="K21" s="4"/>
    </row>
    <row r="22" spans="1:11" x14ac:dyDescent="0.25">
      <c r="A22" s="4" t="s">
        <v>75</v>
      </c>
      <c r="B22" s="4" t="s">
        <v>75</v>
      </c>
      <c r="C22" s="4" t="s">
        <v>76</v>
      </c>
      <c r="D22" s="13">
        <v>262.79000000000002</v>
      </c>
      <c r="E22" s="13">
        <v>262.79000000000002</v>
      </c>
      <c r="F22" s="13">
        <v>0</v>
      </c>
      <c r="G22" s="13">
        <v>262.79000000000002</v>
      </c>
      <c r="H22" s="13">
        <v>0</v>
      </c>
      <c r="I22" s="4">
        <v>1</v>
      </c>
      <c r="J22" s="15" t="s">
        <v>7</v>
      </c>
      <c r="K22" s="4"/>
    </row>
    <row r="23" spans="1:11" x14ac:dyDescent="0.25">
      <c r="A23" s="4" t="s">
        <v>77</v>
      </c>
      <c r="B23" s="4" t="s">
        <v>77</v>
      </c>
      <c r="C23" s="4" t="s">
        <v>78</v>
      </c>
      <c r="D23" s="13">
        <v>1238.8599999999999</v>
      </c>
      <c r="E23" s="13">
        <v>991.08</v>
      </c>
      <c r="F23" s="13">
        <v>0</v>
      </c>
      <c r="G23" s="13">
        <v>991.08</v>
      </c>
      <c r="H23" s="13">
        <v>247.78</v>
      </c>
      <c r="I23" s="4">
        <v>1</v>
      </c>
      <c r="J23" s="14" t="s">
        <v>9</v>
      </c>
      <c r="K23" s="4"/>
    </row>
    <row r="24" spans="1:11" x14ac:dyDescent="0.25">
      <c r="A24" s="4" t="s">
        <v>79</v>
      </c>
      <c r="B24" s="4" t="s">
        <v>79</v>
      </c>
      <c r="C24" s="4" t="s">
        <v>80</v>
      </c>
      <c r="D24" s="13">
        <v>1756.52</v>
      </c>
      <c r="E24" s="13">
        <v>0</v>
      </c>
      <c r="F24" s="13">
        <v>0</v>
      </c>
      <c r="G24" s="13">
        <v>0</v>
      </c>
      <c r="H24" s="13">
        <v>1756.52</v>
      </c>
      <c r="I24" s="4">
        <v>0</v>
      </c>
      <c r="J24" s="17" t="s">
        <v>8</v>
      </c>
      <c r="K24" s="4"/>
    </row>
    <row r="25" spans="1:11" x14ac:dyDescent="0.25">
      <c r="A25" s="4" t="s">
        <v>81</v>
      </c>
      <c r="B25" s="4" t="s">
        <v>81</v>
      </c>
      <c r="C25" s="4" t="s">
        <v>82</v>
      </c>
      <c r="D25" s="13">
        <v>769.18</v>
      </c>
      <c r="E25" s="13">
        <v>1538.36</v>
      </c>
      <c r="F25" s="13">
        <v>0</v>
      </c>
      <c r="G25" s="13">
        <v>1538.36</v>
      </c>
      <c r="H25" s="13">
        <v>-769.18</v>
      </c>
      <c r="I25" s="4">
        <v>2</v>
      </c>
      <c r="J25" s="18" t="s">
        <v>11</v>
      </c>
      <c r="K25" s="4"/>
    </row>
    <row r="26" spans="1:11" x14ac:dyDescent="0.25">
      <c r="A26" s="4" t="s">
        <v>83</v>
      </c>
      <c r="B26" s="4" t="s">
        <v>83</v>
      </c>
      <c r="C26" s="4" t="s">
        <v>84</v>
      </c>
      <c r="D26" s="13">
        <v>1106.3399999999999</v>
      </c>
      <c r="E26" s="13">
        <v>1106.3399999999999</v>
      </c>
      <c r="F26" s="13">
        <v>25</v>
      </c>
      <c r="G26" s="13">
        <v>1081.3399999999999</v>
      </c>
      <c r="H26" s="13">
        <v>25</v>
      </c>
      <c r="I26" s="4">
        <v>1</v>
      </c>
      <c r="J26" s="14" t="s">
        <v>9</v>
      </c>
      <c r="K26" s="4" t="s">
        <v>36</v>
      </c>
    </row>
    <row r="27" spans="1:11" x14ac:dyDescent="0.25">
      <c r="A27" s="4" t="s">
        <v>85</v>
      </c>
      <c r="B27" s="4" t="s">
        <v>85</v>
      </c>
      <c r="C27" s="4" t="s">
        <v>86</v>
      </c>
      <c r="D27" s="13">
        <v>1485.11</v>
      </c>
      <c r="E27" s="13">
        <v>2970.22</v>
      </c>
      <c r="F27" s="13">
        <v>0</v>
      </c>
      <c r="G27" s="13">
        <v>2970.22</v>
      </c>
      <c r="H27" s="13">
        <v>-1485.11</v>
      </c>
      <c r="I27" s="4">
        <v>2</v>
      </c>
      <c r="J27" s="18" t="s">
        <v>11</v>
      </c>
      <c r="K27" s="4"/>
    </row>
    <row r="28" spans="1:11" x14ac:dyDescent="0.25">
      <c r="A28" s="4" t="s">
        <v>87</v>
      </c>
      <c r="B28" s="4" t="s">
        <v>87</v>
      </c>
      <c r="C28" s="4" t="s">
        <v>88</v>
      </c>
      <c r="D28" s="13">
        <v>258.11</v>
      </c>
      <c r="E28" s="13">
        <v>0</v>
      </c>
      <c r="F28" s="13">
        <v>0</v>
      </c>
      <c r="G28" s="13">
        <v>0</v>
      </c>
      <c r="H28" s="13">
        <v>258.11</v>
      </c>
      <c r="I28" s="4">
        <v>0</v>
      </c>
      <c r="J28" s="17" t="s">
        <v>8</v>
      </c>
      <c r="K28" s="4"/>
    </row>
    <row r="29" spans="1:11" x14ac:dyDescent="0.25">
      <c r="A29" s="4" t="s">
        <v>89</v>
      </c>
      <c r="B29" s="4" t="s">
        <v>89</v>
      </c>
      <c r="C29" s="4" t="s">
        <v>35</v>
      </c>
      <c r="D29" s="13">
        <v>705.83</v>
      </c>
      <c r="E29" s="13">
        <v>0</v>
      </c>
      <c r="F29" s="13">
        <v>0</v>
      </c>
      <c r="G29" s="13">
        <v>0</v>
      </c>
      <c r="H29" s="13">
        <v>705.83</v>
      </c>
      <c r="I29" s="4">
        <v>0</v>
      </c>
      <c r="J29" s="17" t="s">
        <v>8</v>
      </c>
      <c r="K29" s="4"/>
    </row>
  </sheetData>
  <autoFilter ref="A1:K2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7" customWidth="1"/>
    <col min="3" max="3" width="11" customWidth="1"/>
    <col min="4" max="4" width="12" customWidth="1"/>
    <col min="5" max="5" width="13" customWidth="1"/>
    <col min="6" max="6" width="23" customWidth="1"/>
  </cols>
  <sheetData>
    <row r="1" spans="1:6" x14ac:dyDescent="0.25">
      <c r="A1" s="12" t="s">
        <v>90</v>
      </c>
      <c r="B1" s="12" t="s">
        <v>28</v>
      </c>
      <c r="C1" s="12" t="s">
        <v>27</v>
      </c>
      <c r="D1" s="12" t="s">
        <v>91</v>
      </c>
      <c r="E1" s="12" t="s">
        <v>92</v>
      </c>
      <c r="F1" s="12" t="s">
        <v>93</v>
      </c>
    </row>
    <row r="2" spans="1:6" x14ac:dyDescent="0.25">
      <c r="A2" s="4">
        <v>20</v>
      </c>
      <c r="B2" s="4" t="s">
        <v>94</v>
      </c>
      <c r="C2" s="4" t="s">
        <v>94</v>
      </c>
      <c r="D2" s="13">
        <v>312.5</v>
      </c>
      <c r="E2" s="4" t="s">
        <v>74</v>
      </c>
      <c r="F2" s="4" t="s">
        <v>95</v>
      </c>
    </row>
    <row r="3" spans="1:6" x14ac:dyDescent="0.25">
      <c r="A3" s="4">
        <v>23</v>
      </c>
      <c r="B3" s="4" t="s">
        <v>96</v>
      </c>
      <c r="C3" s="4" t="s">
        <v>97</v>
      </c>
      <c r="D3" s="13">
        <v>88</v>
      </c>
      <c r="E3" s="4" t="s">
        <v>76</v>
      </c>
      <c r="F3" s="4" t="s">
        <v>95</v>
      </c>
    </row>
  </sheetData>
  <autoFilter ref="A1:F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1" customWidth="1"/>
    <col min="3" max="3" width="16" customWidth="1"/>
    <col min="4" max="4" width="12" customWidth="1"/>
    <col min="5" max="5" width="22" customWidth="1"/>
    <col min="6" max="6" width="17" customWidth="1"/>
  </cols>
  <sheetData>
    <row r="1" spans="1:6" x14ac:dyDescent="0.25">
      <c r="A1" s="12" t="s">
        <v>90</v>
      </c>
      <c r="B1" s="12" t="s">
        <v>27</v>
      </c>
      <c r="C1" s="12" t="s">
        <v>98</v>
      </c>
      <c r="D1" s="12" t="s">
        <v>91</v>
      </c>
      <c r="E1" s="12" t="s">
        <v>93</v>
      </c>
      <c r="F1" s="12" t="s">
        <v>99</v>
      </c>
    </row>
    <row r="2" spans="1:6" x14ac:dyDescent="0.25">
      <c r="A2" s="4">
        <v>10</v>
      </c>
      <c r="B2" s="4" t="s">
        <v>34</v>
      </c>
      <c r="C2" s="4" t="s">
        <v>100</v>
      </c>
      <c r="D2" s="13">
        <v>25</v>
      </c>
      <c r="E2" s="4" t="s">
        <v>101</v>
      </c>
      <c r="F2" s="4" t="b">
        <v>1</v>
      </c>
    </row>
    <row r="3" spans="1:6" x14ac:dyDescent="0.25">
      <c r="A3" s="4">
        <v>17</v>
      </c>
      <c r="B3" s="4" t="s">
        <v>102</v>
      </c>
      <c r="C3" s="4" t="s">
        <v>103</v>
      </c>
      <c r="D3" s="13">
        <v>18</v>
      </c>
      <c r="E3" s="4" t="s">
        <v>104</v>
      </c>
      <c r="F3" s="4" t="b">
        <v>0</v>
      </c>
    </row>
    <row r="4" spans="1:6" x14ac:dyDescent="0.25">
      <c r="A4" s="4">
        <v>24</v>
      </c>
      <c r="B4" s="4" t="s">
        <v>83</v>
      </c>
      <c r="C4" s="4" t="s">
        <v>100</v>
      </c>
      <c r="D4" s="13">
        <v>25</v>
      </c>
      <c r="E4" s="4" t="s">
        <v>101</v>
      </c>
      <c r="F4" s="4" t="b">
        <v>1</v>
      </c>
    </row>
  </sheetData>
  <autoFilter ref="A1:F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1" customWidth="1"/>
    <col min="3" max="3" width="12" customWidth="1"/>
    <col min="4" max="4" width="32" customWidth="1"/>
    <col min="5" max="5" width="11" customWidth="1"/>
  </cols>
  <sheetData>
    <row r="1" spans="1:5" x14ac:dyDescent="0.25">
      <c r="A1" s="12" t="s">
        <v>90</v>
      </c>
      <c r="B1" s="12" t="s">
        <v>27</v>
      </c>
      <c r="C1" s="12" t="s">
        <v>91</v>
      </c>
      <c r="D1" s="12" t="s">
        <v>105</v>
      </c>
      <c r="E1" s="12" t="s">
        <v>106</v>
      </c>
    </row>
    <row r="2" spans="1:5" x14ac:dyDescent="0.25">
      <c r="A2" s="4">
        <v>30</v>
      </c>
      <c r="B2" s="4" t="s">
        <v>107</v>
      </c>
      <c r="C2" s="4" t="s">
        <v>108</v>
      </c>
      <c r="D2" s="4" t="s">
        <v>109</v>
      </c>
      <c r="E2" s="4" t="s">
        <v>110</v>
      </c>
    </row>
    <row r="3" spans="1:5" x14ac:dyDescent="0.25">
      <c r="A3" s="4">
        <v>2</v>
      </c>
      <c r="B3" s="4" t="s">
        <v>34</v>
      </c>
      <c r="C3" s="4" t="s">
        <v>111</v>
      </c>
      <c r="D3" s="4" t="s">
        <v>112</v>
      </c>
      <c r="E3" s="4" t="s">
        <v>113</v>
      </c>
    </row>
    <row r="4" spans="1:5" x14ac:dyDescent="0.25">
      <c r="A4" s="4">
        <v>16</v>
      </c>
      <c r="B4" s="4"/>
      <c r="C4" s="4" t="s">
        <v>114</v>
      </c>
      <c r="D4" s="4" t="s">
        <v>115</v>
      </c>
      <c r="E4" s="4" t="s">
        <v>113</v>
      </c>
    </row>
  </sheetData>
  <autoFilter ref="A1:E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Invoices</vt:lpstr>
      <vt:lpstr>Unapplied payments</vt:lpstr>
      <vt:lpstr>Deductions</vt:lpstr>
      <vt:lpstr>Rejected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Adnan</cp:lastModifiedBy>
  <dcterms:created xsi:type="dcterms:W3CDTF">2026-09-21T21:04:43Z</dcterms:created>
  <dcterms:modified xsi:type="dcterms:W3CDTF">2026-09-21T21:04:51Z</dcterms:modified>
</cp:coreProperties>
</file>