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Unapplied payments" sheetId="3" state="visible" r:id="rId3"/>
    <sheet xmlns:r="http://schemas.openxmlformats.org/officeDocument/2006/relationships" name="Deductions" sheetId="4" state="visible" r:id="rId4"/>
    <sheet xmlns:r="http://schemas.openxmlformats.org/officeDocument/2006/relationships" name="Rejected rows" sheetId="5" state="visible" r:id="rId5"/>
  </sheets>
  <definedNames>
    <definedName name="_xlnm._FilterDatabase" localSheetId="1" hidden="1">'Invoices'!$A$1:$K$23</definedName>
    <definedName name="_xlnm._FilterDatabase" localSheetId="2" hidden="1">'Unapplied payments'!$A$1:$F$2</definedName>
    <definedName name="_xlnm._FilterDatabase" localSheetId="3" hidden="1">'Deductions'!$A$1:$F$4</definedName>
    <definedName name="_xlnm._FilterDatabase" localSheetId="4" hidden="1">'Rejected rows'!$A$1:$E$1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1F3864"/>
      <sz val="11"/>
    </font>
    <font>
      <name val="Arial"/>
      <b val="1"/>
      <color rgb="002E7D32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B3FF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Reconciliation: AC2000, Big Box Retailer B (example)</t>
        </is>
      </c>
    </row>
    <row r="2">
      <c r="A2" s="2" t="inlineStr">
        <is>
          <t>Tolerance $0.05 | PO suffix rule: none | payments exported as negative: yes</t>
        </is>
      </c>
    </row>
    <row r="4">
      <c r="A4" s="3" t="inlineStr">
        <is>
          <t>Status</t>
        </is>
      </c>
      <c r="B4" s="3" t="inlineStr">
        <is>
          <t>Invoices</t>
        </is>
      </c>
      <c r="C4" s="3" t="inlineStr">
        <is>
          <t>Invoice amount</t>
        </is>
      </c>
      <c r="D4" s="3" t="inlineStr">
        <is>
          <t>Net paid</t>
        </is>
      </c>
      <c r="E4" s="3" t="inlineStr">
        <is>
          <t>Difference</t>
        </is>
      </c>
    </row>
    <row r="5">
      <c r="A5" s="4" t="inlineStr">
        <is>
          <t>Paid</t>
        </is>
      </c>
      <c r="B5" s="5">
        <f>COUNTIF(Invoices!$J$2:$J$23,A5)</f>
        <v/>
      </c>
      <c r="C5" s="6">
        <f>SUMIF(Invoices!$J$2:$J$23,A5,Invoices!$D$2:$D$23)</f>
        <v/>
      </c>
      <c r="D5" s="6">
        <f>SUMIF(Invoices!$J$2:$J$23,A5,Invoices!$G$2:$G$23)</f>
        <v/>
      </c>
      <c r="E5" s="6">
        <f>SUMIF(Invoices!$J$2:$J$23,A5,Invoices!$H$2:$H$23)</f>
        <v/>
      </c>
    </row>
    <row r="6">
      <c r="A6" s="4" t="inlineStr">
        <is>
          <t>Unpaid</t>
        </is>
      </c>
      <c r="B6" s="5">
        <f>COUNTIF(Invoices!$J$2:$J$23,A6)</f>
        <v/>
      </c>
      <c r="C6" s="6">
        <f>SUMIF(Invoices!$J$2:$J$23,A6,Invoices!$D$2:$D$23)</f>
        <v/>
      </c>
      <c r="D6" s="6">
        <f>SUMIF(Invoices!$J$2:$J$23,A6,Invoices!$G$2:$G$23)</f>
        <v/>
      </c>
      <c r="E6" s="6">
        <f>SUMIF(Invoices!$J$2:$J$23,A6,Invoices!$H$2:$H$23)</f>
        <v/>
      </c>
    </row>
    <row r="7">
      <c r="A7" s="4" t="inlineStr">
        <is>
          <t>Short Pay</t>
        </is>
      </c>
      <c r="B7" s="5">
        <f>COUNTIF(Invoices!$J$2:$J$23,A7)</f>
        <v/>
      </c>
      <c r="C7" s="6">
        <f>SUMIF(Invoices!$J$2:$J$23,A7,Invoices!$D$2:$D$23)</f>
        <v/>
      </c>
      <c r="D7" s="6">
        <f>SUMIF(Invoices!$J$2:$J$23,A7,Invoices!$G$2:$G$23)</f>
        <v/>
      </c>
      <c r="E7" s="6">
        <f>SUMIF(Invoices!$J$2:$J$23,A7,Invoices!$H$2:$H$23)</f>
        <v/>
      </c>
    </row>
    <row r="8">
      <c r="A8" s="4" t="inlineStr">
        <is>
          <t>Overpaid</t>
        </is>
      </c>
      <c r="B8" s="5">
        <f>COUNTIF(Invoices!$J$2:$J$23,A8)</f>
        <v/>
      </c>
      <c r="C8" s="6">
        <f>SUMIF(Invoices!$J$2:$J$23,A8,Invoices!$D$2:$D$23)</f>
        <v/>
      </c>
      <c r="D8" s="6">
        <f>SUMIF(Invoices!$J$2:$J$23,A8,Invoices!$G$2:$G$23)</f>
        <v/>
      </c>
      <c r="E8" s="6">
        <f>SUMIF(Invoices!$J$2:$J$23,A8,Invoices!$H$2:$H$23)</f>
        <v/>
      </c>
    </row>
    <row r="9">
      <c r="A9" s="4" t="inlineStr">
        <is>
          <t>Duplicate</t>
        </is>
      </c>
      <c r="B9" s="5">
        <f>COUNTIF(Invoices!$J$2:$J$23,A9)</f>
        <v/>
      </c>
      <c r="C9" s="6">
        <f>SUMIF(Invoices!$J$2:$J$23,A9,Invoices!$D$2:$D$23)</f>
        <v/>
      </c>
      <c r="D9" s="6">
        <f>SUMIF(Invoices!$J$2:$J$23,A9,Invoices!$G$2:$G$23)</f>
        <v/>
      </c>
      <c r="E9" s="6">
        <f>SUMIF(Invoices!$J$2:$J$23,A9,Invoices!$H$2:$H$23)</f>
        <v/>
      </c>
    </row>
    <row r="10">
      <c r="A10" s="7" t="inlineStr">
        <is>
          <t>Total</t>
        </is>
      </c>
      <c r="B10" s="8">
        <f>SUM(B5:B9)</f>
        <v/>
      </c>
      <c r="C10" s="9">
        <f>SUM(C5:C9)</f>
        <v/>
      </c>
      <c r="D10" s="9">
        <f>SUM(D5:D9)</f>
        <v/>
      </c>
      <c r="E10" s="9">
        <f>SUM(E5:E9)</f>
        <v/>
      </c>
    </row>
    <row r="12">
      <c r="A12" s="10" t="inlineStr">
        <is>
          <t>Findings</t>
        </is>
      </c>
    </row>
    <row r="13">
      <c r="A13" s="4" t="inlineStr">
        <is>
          <t>Owed to you (Unpaid + Short Pay)</t>
        </is>
      </c>
      <c r="B13" s="9" t="n">
        <v>1268.11</v>
      </c>
    </row>
    <row r="14">
      <c r="A14" s="4" t="inlineStr">
        <is>
          <t>Excess received (Overpaid + Duplicate)</t>
        </is>
      </c>
      <c r="B14" s="9" t="n">
        <v>1290.49</v>
      </c>
    </row>
    <row r="15">
      <c r="A15" s="4" t="inlineStr">
        <is>
          <t>Unapplied payments (no invoice)</t>
        </is>
      </c>
      <c r="B15" s="7" t="inlineStr">
        <is>
          <t>1 lines, $450.00</t>
        </is>
      </c>
    </row>
    <row r="16">
      <c r="A16" s="4" t="inlineStr">
        <is>
          <t>Deductions taken</t>
        </is>
      </c>
      <c r="B16" s="7" t="inlineStr">
        <is>
          <t>3 lines, $72.00</t>
        </is>
      </c>
    </row>
    <row r="17">
      <c r="A17" s="4" t="inlineStr">
        <is>
          <t>Short payments explained by deductions</t>
        </is>
      </c>
      <c r="B17" s="8">
        <f>COUNTIF(Invoices!$K$2:$K$23,"Yes")</f>
        <v/>
      </c>
    </row>
    <row r="19">
      <c r="A19" s="10" t="inlineStr">
        <is>
          <t>Row accounting</t>
        </is>
      </c>
    </row>
    <row r="20">
      <c r="A20" s="4" t="inlineStr">
        <is>
          <t>Invoice rows read</t>
        </is>
      </c>
      <c r="B20" s="4" t="n">
        <v>22</v>
      </c>
    </row>
    <row r="21">
      <c r="A21" s="4" t="inlineStr">
        <is>
          <t xml:space="preserve">  used</t>
        </is>
      </c>
      <c r="B21" s="4" t="n">
        <v>22</v>
      </c>
    </row>
    <row r="22">
      <c r="A22" s="4" t="inlineStr">
        <is>
          <t xml:space="preserve">  rejected</t>
        </is>
      </c>
      <c r="B22" s="4" t="n">
        <v>0</v>
      </c>
    </row>
    <row r="23">
      <c r="A23" s="4" t="inlineStr">
        <is>
          <t>Payment rows read</t>
        </is>
      </c>
      <c r="B23" s="4" t="n">
        <v>24</v>
      </c>
    </row>
    <row r="24">
      <c r="A24" s="4" t="inlineStr">
        <is>
          <t xml:space="preserve">  used</t>
        </is>
      </c>
      <c r="B24" s="4" t="n">
        <v>24</v>
      </c>
    </row>
    <row r="25">
      <c r="A25" s="4" t="inlineStr">
        <is>
          <t xml:space="preserve">  rejected</t>
        </is>
      </c>
      <c r="B25" s="4" t="n">
        <v>0</v>
      </c>
    </row>
    <row r="26">
      <c r="A26" s="11" t="inlineStr">
        <is>
          <t>Every row accounted for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20" customWidth="1" min="4" max="4"/>
    <col width="14" customWidth="1" min="5" max="5"/>
    <col width="16" customWidth="1" min="6" max="6"/>
    <col width="14" customWidth="1" min="7" max="7"/>
    <col width="16" customWidth="1" min="8" max="8"/>
    <col width="19" customWidth="1" min="9" max="9"/>
    <col width="12" customWidth="1" min="10" max="10"/>
    <col width="29" customWidth="1" min="11" max="11"/>
  </cols>
  <sheetData>
    <row r="1">
      <c r="A1" s="12" t="inlineStr">
        <is>
          <t>PO</t>
        </is>
      </c>
      <c r="B1" s="12" t="inlineStr">
        <is>
          <t>Original PO</t>
        </is>
      </c>
      <c r="C1" s="12" t="inlineStr">
        <is>
          <t>Invoice date</t>
        </is>
      </c>
      <c r="D1" s="12" t="inlineStr">
        <is>
          <t>Invoice amount</t>
        </is>
      </c>
      <c r="E1" s="12" t="inlineStr">
        <is>
          <t>Received</t>
        </is>
      </c>
      <c r="F1" s="12" t="inlineStr">
        <is>
          <t>Deductions</t>
        </is>
      </c>
      <c r="G1" s="12" t="inlineStr">
        <is>
          <t>Net paid</t>
        </is>
      </c>
      <c r="H1" s="12" t="inlineStr">
        <is>
          <t>Difference</t>
        </is>
      </c>
      <c r="I1" s="12" t="inlineStr">
        <is>
          <t>Payment lines</t>
        </is>
      </c>
      <c r="J1" s="12" t="inlineStr">
        <is>
          <t>Status</t>
        </is>
      </c>
      <c r="K1" s="12" t="inlineStr">
        <is>
          <t>Explained by deductions</t>
        </is>
      </c>
    </row>
    <row r="2">
      <c r="A2" s="4" t="inlineStr">
        <is>
          <t>2088012070</t>
        </is>
      </c>
      <c r="B2" s="4" t="inlineStr">
        <is>
          <t>2088012070</t>
        </is>
      </c>
      <c r="C2" s="4" t="inlineStr">
        <is>
          <t>2026-06-01</t>
        </is>
      </c>
      <c r="D2" s="13" t="n">
        <v>365.41</v>
      </c>
      <c r="E2" s="13" t="n">
        <v>730.8200000000001</v>
      </c>
      <c r="F2" s="13" t="n">
        <v>0</v>
      </c>
      <c r="G2" s="13" t="n">
        <v>730.8200000000001</v>
      </c>
      <c r="H2" s="13" t="n">
        <v>-365.41</v>
      </c>
      <c r="I2" s="4" t="n">
        <v>2</v>
      </c>
      <c r="J2" s="14" t="inlineStr">
        <is>
          <t>Duplicate</t>
        </is>
      </c>
      <c r="K2" s="4" t="inlineStr"/>
    </row>
    <row r="3">
      <c r="A3" s="4" t="inlineStr">
        <is>
          <t>2088012077</t>
        </is>
      </c>
      <c r="B3" s="4" t="inlineStr">
        <is>
          <t>2088012077</t>
        </is>
      </c>
      <c r="C3" s="4" t="inlineStr">
        <is>
          <t>2026-06-02</t>
        </is>
      </c>
      <c r="D3" s="13" t="n">
        <v>1095.08</v>
      </c>
      <c r="E3" s="13" t="n">
        <v>1095.08</v>
      </c>
      <c r="F3" s="13" t="n">
        <v>0</v>
      </c>
      <c r="G3" s="13" t="n">
        <v>1095.08</v>
      </c>
      <c r="H3" s="13" t="n">
        <v>0</v>
      </c>
      <c r="I3" s="4" t="n">
        <v>1</v>
      </c>
      <c r="J3" s="15" t="inlineStr">
        <is>
          <t>Paid</t>
        </is>
      </c>
      <c r="K3" s="4" t="inlineStr"/>
    </row>
    <row r="4">
      <c r="A4" s="4" t="inlineStr">
        <is>
          <t>2088012084</t>
        </is>
      </c>
      <c r="B4" s="4" t="inlineStr">
        <is>
          <t>2088012084</t>
        </is>
      </c>
      <c r="C4" s="4" t="inlineStr">
        <is>
          <t>2026-06-03</t>
        </is>
      </c>
      <c r="D4" s="13" t="n">
        <v>1162.98</v>
      </c>
      <c r="E4" s="13" t="n">
        <v>1162.98</v>
      </c>
      <c r="F4" s="13" t="n">
        <v>30</v>
      </c>
      <c r="G4" s="13" t="n">
        <v>1132.98</v>
      </c>
      <c r="H4" s="13" t="n">
        <v>30</v>
      </c>
      <c r="I4" s="4" t="n">
        <v>1</v>
      </c>
      <c r="J4" s="16" t="inlineStr">
        <is>
          <t>Short Pay</t>
        </is>
      </c>
      <c r="K4" s="4" t="inlineStr">
        <is>
          <t>Yes</t>
        </is>
      </c>
    </row>
    <row r="5">
      <c r="A5" s="4" t="inlineStr">
        <is>
          <t>2088012091</t>
        </is>
      </c>
      <c r="B5" s="4" t="inlineStr">
        <is>
          <t>2088012091</t>
        </is>
      </c>
      <c r="C5" s="4" t="inlineStr">
        <is>
          <t>2026-06-04</t>
        </is>
      </c>
      <c r="D5" s="13" t="n">
        <v>618.01</v>
      </c>
      <c r="E5" s="13" t="n">
        <v>618.01</v>
      </c>
      <c r="F5" s="13" t="n">
        <v>0</v>
      </c>
      <c r="G5" s="13" t="n">
        <v>618.01</v>
      </c>
      <c r="H5" s="13" t="n">
        <v>0</v>
      </c>
      <c r="I5" s="4" t="n">
        <v>1</v>
      </c>
      <c r="J5" s="15" t="inlineStr">
        <is>
          <t>Paid</t>
        </is>
      </c>
      <c r="K5" s="4" t="inlineStr"/>
    </row>
    <row r="6">
      <c r="A6" s="4" t="inlineStr">
        <is>
          <t>2088012098</t>
        </is>
      </c>
      <c r="B6" s="4" t="inlineStr">
        <is>
          <t>2088012098</t>
        </is>
      </c>
      <c r="C6" s="4" t="inlineStr">
        <is>
          <t>2026-06-05</t>
        </is>
      </c>
      <c r="D6" s="13" t="n">
        <v>61.23</v>
      </c>
      <c r="E6" s="13" t="n">
        <v>61.23</v>
      </c>
      <c r="F6" s="13" t="n">
        <v>0</v>
      </c>
      <c r="G6" s="13" t="n">
        <v>61.23</v>
      </c>
      <c r="H6" s="13" t="n">
        <v>0</v>
      </c>
      <c r="I6" s="4" t="n">
        <v>1</v>
      </c>
      <c r="J6" s="15" t="inlineStr">
        <is>
          <t>Paid</t>
        </is>
      </c>
      <c r="K6" s="4" t="inlineStr"/>
    </row>
    <row r="7">
      <c r="A7" s="4" t="inlineStr">
        <is>
          <t>2088012105</t>
        </is>
      </c>
      <c r="B7" s="4" t="inlineStr">
        <is>
          <t>2088012105</t>
        </is>
      </c>
      <c r="C7" s="4" t="inlineStr">
        <is>
          <t>2026-06-06</t>
        </is>
      </c>
      <c r="D7" s="13" t="n">
        <v>767.25</v>
      </c>
      <c r="E7" s="13" t="n">
        <v>767.25</v>
      </c>
      <c r="F7" s="13" t="n">
        <v>0</v>
      </c>
      <c r="G7" s="13" t="n">
        <v>767.25</v>
      </c>
      <c r="H7" s="13" t="n">
        <v>0</v>
      </c>
      <c r="I7" s="4" t="n">
        <v>1</v>
      </c>
      <c r="J7" s="15" t="inlineStr">
        <is>
          <t>Paid</t>
        </is>
      </c>
      <c r="K7" s="4" t="inlineStr"/>
    </row>
    <row r="8">
      <c r="A8" s="4" t="inlineStr">
        <is>
          <t>2088012112</t>
        </is>
      </c>
      <c r="B8" s="4" t="inlineStr">
        <is>
          <t>2088012112</t>
        </is>
      </c>
      <c r="C8" s="4" t="inlineStr">
        <is>
          <t>2026-06-07</t>
        </is>
      </c>
      <c r="D8" s="13" t="n">
        <v>2325.79</v>
      </c>
      <c r="E8" s="13" t="n">
        <v>2790.94</v>
      </c>
      <c r="F8" s="13" t="n">
        <v>0</v>
      </c>
      <c r="G8" s="13" t="n">
        <v>2790.94</v>
      </c>
      <c r="H8" s="13" t="n">
        <v>-465.15</v>
      </c>
      <c r="I8" s="4" t="n">
        <v>1</v>
      </c>
      <c r="J8" s="17" t="inlineStr">
        <is>
          <t>Overpaid</t>
        </is>
      </c>
      <c r="K8" s="4" t="inlineStr"/>
    </row>
    <row r="9">
      <c r="A9" s="4" t="inlineStr">
        <is>
          <t>2088012119</t>
        </is>
      </c>
      <c r="B9" s="4" t="inlineStr">
        <is>
          <t>2088012119</t>
        </is>
      </c>
      <c r="C9" s="4" t="inlineStr">
        <is>
          <t>2026-06-08</t>
        </is>
      </c>
      <c r="D9" s="13" t="n">
        <v>2166.09</v>
      </c>
      <c r="E9" s="13" t="n">
        <v>2166.05</v>
      </c>
      <c r="F9" s="13" t="n">
        <v>0</v>
      </c>
      <c r="G9" s="13" t="n">
        <v>2166.05</v>
      </c>
      <c r="H9" s="13" t="n">
        <v>0.04</v>
      </c>
      <c r="I9" s="4" t="n">
        <v>1</v>
      </c>
      <c r="J9" s="15" t="inlineStr">
        <is>
          <t>Paid</t>
        </is>
      </c>
      <c r="K9" s="4" t="inlineStr"/>
    </row>
    <row r="10">
      <c r="A10" s="4" t="inlineStr">
        <is>
          <t>2088012126</t>
        </is>
      </c>
      <c r="B10" s="4" t="inlineStr">
        <is>
          <t>2088012126</t>
        </is>
      </c>
      <c r="C10" s="4" t="inlineStr">
        <is>
          <t>2026-06-09</t>
        </is>
      </c>
      <c r="D10" s="13" t="n">
        <v>1613.83</v>
      </c>
      <c r="E10" s="13" t="n">
        <v>1452.44</v>
      </c>
      <c r="F10" s="13" t="n">
        <v>0</v>
      </c>
      <c r="G10" s="13" t="n">
        <v>1452.44</v>
      </c>
      <c r="H10" s="13" t="n">
        <v>161.39</v>
      </c>
      <c r="I10" s="4" t="n">
        <v>1</v>
      </c>
      <c r="J10" s="16" t="inlineStr">
        <is>
          <t>Short Pay</t>
        </is>
      </c>
      <c r="K10" s="4" t="inlineStr"/>
    </row>
    <row r="11">
      <c r="A11" s="4" t="inlineStr">
        <is>
          <t>2088012133</t>
        </is>
      </c>
      <c r="B11" s="4" t="inlineStr">
        <is>
          <t>2088012133</t>
        </is>
      </c>
      <c r="C11" s="4" t="inlineStr">
        <is>
          <t>2026-06-10</t>
        </is>
      </c>
      <c r="D11" s="13" t="n">
        <v>857.29</v>
      </c>
      <c r="E11" s="13" t="n">
        <v>857.29</v>
      </c>
      <c r="F11" s="13" t="n">
        <v>0</v>
      </c>
      <c r="G11" s="13" t="n">
        <v>857.29</v>
      </c>
      <c r="H11" s="13" t="n">
        <v>0</v>
      </c>
      <c r="I11" s="4" t="n">
        <v>1</v>
      </c>
      <c r="J11" s="15" t="inlineStr">
        <is>
          <t>Paid</t>
        </is>
      </c>
      <c r="K11" s="4" t="inlineStr"/>
    </row>
    <row r="12">
      <c r="A12" s="4" t="inlineStr">
        <is>
          <t>2088012140</t>
        </is>
      </c>
      <c r="B12" s="4" t="inlineStr">
        <is>
          <t>2088012140</t>
        </is>
      </c>
      <c r="C12" s="4" t="inlineStr">
        <is>
          <t>2026-06-11</t>
        </is>
      </c>
      <c r="D12" s="13" t="n">
        <v>2379.62</v>
      </c>
      <c r="E12" s="13" t="n">
        <v>2379.62</v>
      </c>
      <c r="F12" s="13" t="n">
        <v>0</v>
      </c>
      <c r="G12" s="13" t="n">
        <v>2379.62</v>
      </c>
      <c r="H12" s="13" t="n">
        <v>0</v>
      </c>
      <c r="I12" s="4" t="n">
        <v>1</v>
      </c>
      <c r="J12" s="15" t="inlineStr">
        <is>
          <t>Paid</t>
        </is>
      </c>
      <c r="K12" s="4" t="inlineStr"/>
    </row>
    <row r="13">
      <c r="A13" s="4" t="inlineStr">
        <is>
          <t>2088012147</t>
        </is>
      </c>
      <c r="B13" s="4" t="inlineStr">
        <is>
          <t>2088012147</t>
        </is>
      </c>
      <c r="C13" s="4" t="inlineStr">
        <is>
          <t>2026-06-12</t>
        </is>
      </c>
      <c r="D13" s="13" t="n">
        <v>111.46</v>
      </c>
      <c r="E13" s="13" t="n">
        <v>0</v>
      </c>
      <c r="F13" s="13" t="n">
        <v>0</v>
      </c>
      <c r="G13" s="13" t="n">
        <v>0</v>
      </c>
      <c r="H13" s="13" t="n">
        <v>111.46</v>
      </c>
      <c r="I13" s="4" t="n">
        <v>0</v>
      </c>
      <c r="J13" s="18" t="inlineStr">
        <is>
          <t>Unpaid</t>
        </is>
      </c>
      <c r="K13" s="4" t="inlineStr"/>
    </row>
    <row r="14">
      <c r="A14" s="4" t="inlineStr">
        <is>
          <t>2088012154</t>
        </is>
      </c>
      <c r="B14" s="4" t="inlineStr">
        <is>
          <t>2088012154</t>
        </is>
      </c>
      <c r="C14" s="4" t="inlineStr">
        <is>
          <t>2026-06-13</t>
        </is>
      </c>
      <c r="D14" s="13" t="n">
        <v>612.36</v>
      </c>
      <c r="E14" s="13" t="n">
        <v>551.12</v>
      </c>
      <c r="F14" s="13" t="n">
        <v>0</v>
      </c>
      <c r="G14" s="13" t="n">
        <v>551.12</v>
      </c>
      <c r="H14" s="13" t="n">
        <v>61.24</v>
      </c>
      <c r="I14" s="4" t="n">
        <v>1</v>
      </c>
      <c r="J14" s="16" t="inlineStr">
        <is>
          <t>Short Pay</t>
        </is>
      </c>
      <c r="K14" s="4" t="inlineStr"/>
    </row>
    <row r="15">
      <c r="A15" s="4" t="inlineStr">
        <is>
          <t>2088012161</t>
        </is>
      </c>
      <c r="B15" s="4" t="inlineStr">
        <is>
          <t>2088012161</t>
        </is>
      </c>
      <c r="C15" s="4" t="inlineStr">
        <is>
          <t>2026-06-14</t>
        </is>
      </c>
      <c r="D15" s="13" t="n">
        <v>551.01</v>
      </c>
      <c r="E15" s="13" t="n">
        <v>0</v>
      </c>
      <c r="F15" s="13" t="n">
        <v>0</v>
      </c>
      <c r="G15" s="13" t="n">
        <v>0</v>
      </c>
      <c r="H15" s="13" t="n">
        <v>551.01</v>
      </c>
      <c r="I15" s="4" t="n">
        <v>0</v>
      </c>
      <c r="J15" s="18" t="inlineStr">
        <is>
          <t>Unpaid</t>
        </is>
      </c>
      <c r="K15" s="4" t="inlineStr"/>
    </row>
    <row r="16">
      <c r="A16" s="4" t="inlineStr">
        <is>
          <t>2088012168</t>
        </is>
      </c>
      <c r="B16" s="4" t="inlineStr">
        <is>
          <t>2088012168</t>
        </is>
      </c>
      <c r="C16" s="4" t="inlineStr">
        <is>
          <t>2026-06-15</t>
        </is>
      </c>
      <c r="D16" s="13" t="n">
        <v>1093.56</v>
      </c>
      <c r="E16" s="13" t="n">
        <v>1093.56</v>
      </c>
      <c r="F16" s="13" t="n">
        <v>30</v>
      </c>
      <c r="G16" s="13" t="n">
        <v>1063.56</v>
      </c>
      <c r="H16" s="13" t="n">
        <v>30</v>
      </c>
      <c r="I16" s="4" t="n">
        <v>1</v>
      </c>
      <c r="J16" s="16" t="inlineStr">
        <is>
          <t>Short Pay</t>
        </is>
      </c>
      <c r="K16" s="4" t="inlineStr">
        <is>
          <t>Yes</t>
        </is>
      </c>
    </row>
    <row r="17">
      <c r="A17" s="4" t="inlineStr">
        <is>
          <t>2088012175</t>
        </is>
      </c>
      <c r="B17" s="4" t="inlineStr">
        <is>
          <t>2088012175</t>
        </is>
      </c>
      <c r="C17" s="4" t="inlineStr">
        <is>
          <t>2026-06-16</t>
        </is>
      </c>
      <c r="D17" s="13" t="n">
        <v>2299.69</v>
      </c>
      <c r="E17" s="13" t="n">
        <v>2759.62</v>
      </c>
      <c r="F17" s="13" t="n">
        <v>0</v>
      </c>
      <c r="G17" s="13" t="n">
        <v>2759.62</v>
      </c>
      <c r="H17" s="13" t="n">
        <v>-459.93</v>
      </c>
      <c r="I17" s="4" t="n">
        <v>1</v>
      </c>
      <c r="J17" s="17" t="inlineStr">
        <is>
          <t>Overpaid</t>
        </is>
      </c>
      <c r="K17" s="4" t="inlineStr"/>
    </row>
    <row r="18">
      <c r="A18" s="4" t="inlineStr">
        <is>
          <t>2088012182</t>
        </is>
      </c>
      <c r="B18" s="4" t="inlineStr">
        <is>
          <t>2088012182</t>
        </is>
      </c>
      <c r="C18" s="4" t="inlineStr">
        <is>
          <t>2026-06-17</t>
        </is>
      </c>
      <c r="D18" s="13" t="n">
        <v>1638.15</v>
      </c>
      <c r="E18" s="13" t="n">
        <v>1638.15</v>
      </c>
      <c r="F18" s="13" t="n">
        <v>0</v>
      </c>
      <c r="G18" s="13" t="n">
        <v>1638.15</v>
      </c>
      <c r="H18" s="13" t="n">
        <v>0</v>
      </c>
      <c r="I18" s="4" t="n">
        <v>1</v>
      </c>
      <c r="J18" s="15" t="inlineStr">
        <is>
          <t>Paid</t>
        </is>
      </c>
      <c r="K18" s="4" t="inlineStr"/>
    </row>
    <row r="19">
      <c r="A19" s="4" t="inlineStr">
        <is>
          <t>2088012189</t>
        </is>
      </c>
      <c r="B19" s="4" t="inlineStr">
        <is>
          <t>2088012189</t>
        </is>
      </c>
      <c r="C19" s="4" t="inlineStr">
        <is>
          <t>2026-06-18</t>
        </is>
      </c>
      <c r="D19" s="13" t="n">
        <v>1742.53</v>
      </c>
      <c r="E19" s="13" t="n">
        <v>1742.53</v>
      </c>
      <c r="F19" s="13" t="n">
        <v>0</v>
      </c>
      <c r="G19" s="13" t="n">
        <v>1742.53</v>
      </c>
      <c r="H19" s="13" t="n">
        <v>0</v>
      </c>
      <c r="I19" s="4" t="n">
        <v>1</v>
      </c>
      <c r="J19" s="15" t="inlineStr">
        <is>
          <t>Paid</t>
        </is>
      </c>
      <c r="K19" s="4" t="inlineStr"/>
    </row>
    <row r="20">
      <c r="A20" s="4" t="inlineStr">
        <is>
          <t>2088012196</t>
        </is>
      </c>
      <c r="B20" s="4" t="inlineStr">
        <is>
          <t>2088012196</t>
        </is>
      </c>
      <c r="C20" s="4" t="inlineStr">
        <is>
          <t>2026-06-19</t>
        </is>
      </c>
      <c r="D20" s="13" t="n">
        <v>1572.46</v>
      </c>
      <c r="E20" s="13" t="n">
        <v>1572.46</v>
      </c>
      <c r="F20" s="13" t="n">
        <v>0</v>
      </c>
      <c r="G20" s="13" t="n">
        <v>1572.46</v>
      </c>
      <c r="H20" s="13" t="n">
        <v>0</v>
      </c>
      <c r="I20" s="4" t="n">
        <v>1</v>
      </c>
      <c r="J20" s="15" t="inlineStr">
        <is>
          <t>Paid</t>
        </is>
      </c>
      <c r="K20" s="4" t="inlineStr"/>
    </row>
    <row r="21">
      <c r="A21" s="4" t="inlineStr">
        <is>
          <t>2088012203</t>
        </is>
      </c>
      <c r="B21" s="4" t="inlineStr">
        <is>
          <t>2088012203</t>
        </is>
      </c>
      <c r="C21" s="4" t="inlineStr">
        <is>
          <t>2026-06-20</t>
        </is>
      </c>
      <c r="D21" s="13" t="n">
        <v>323.01</v>
      </c>
      <c r="E21" s="13" t="n">
        <v>0</v>
      </c>
      <c r="F21" s="13" t="n">
        <v>0</v>
      </c>
      <c r="G21" s="13" t="n">
        <v>0</v>
      </c>
      <c r="H21" s="13" t="n">
        <v>323.01</v>
      </c>
      <c r="I21" s="4" t="n">
        <v>0</v>
      </c>
      <c r="J21" s="18" t="inlineStr">
        <is>
          <t>Unpaid</t>
        </is>
      </c>
      <c r="K21" s="4" t="inlineStr"/>
    </row>
    <row r="22">
      <c r="A22" s="4" t="inlineStr">
        <is>
          <t>2088012210</t>
        </is>
      </c>
      <c r="B22" s="4" t="inlineStr">
        <is>
          <t>2088012210</t>
        </is>
      </c>
      <c r="C22" s="4" t="inlineStr">
        <is>
          <t>2026-06-21</t>
        </is>
      </c>
      <c r="D22" s="13" t="n">
        <v>170.38</v>
      </c>
      <c r="E22" s="13" t="n">
        <v>170.38</v>
      </c>
      <c r="F22" s="13" t="n">
        <v>0</v>
      </c>
      <c r="G22" s="13" t="n">
        <v>170.38</v>
      </c>
      <c r="H22" s="13" t="n">
        <v>0</v>
      </c>
      <c r="I22" s="4" t="n">
        <v>1</v>
      </c>
      <c r="J22" s="15" t="inlineStr">
        <is>
          <t>Paid</t>
        </is>
      </c>
      <c r="K22" s="4" t="inlineStr"/>
    </row>
    <row r="23">
      <c r="A23" s="4" t="inlineStr">
        <is>
          <t>2088012217</t>
        </is>
      </c>
      <c r="B23" s="4" t="inlineStr">
        <is>
          <t>2088012217</t>
        </is>
      </c>
      <c r="C23" s="4" t="inlineStr">
        <is>
          <t>2026-06-22</t>
        </is>
      </c>
      <c r="D23" s="13" t="n">
        <v>443.67</v>
      </c>
      <c r="E23" s="13" t="n">
        <v>443.63</v>
      </c>
      <c r="F23" s="13" t="n">
        <v>0</v>
      </c>
      <c r="G23" s="13" t="n">
        <v>443.63</v>
      </c>
      <c r="H23" s="13" t="n">
        <v>0.04</v>
      </c>
      <c r="I23" s="4" t="n">
        <v>1</v>
      </c>
      <c r="J23" s="15" t="inlineStr">
        <is>
          <t>Paid</t>
        </is>
      </c>
      <c r="K23" s="4" t="inlineStr"/>
    </row>
  </sheetData>
  <autoFilter ref="A1:K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12" customWidth="1" min="4" max="4"/>
    <col width="13" customWidth="1" min="5" max="5"/>
    <col width="23" customWidth="1" min="6" max="6"/>
  </cols>
  <sheetData>
    <row r="1">
      <c r="A1" s="12" t="inlineStr">
        <is>
          <t>File row</t>
        </is>
      </c>
      <c r="B1" s="12" t="inlineStr">
        <is>
          <t>Original PO</t>
        </is>
      </c>
      <c r="C1" s="12" t="inlineStr">
        <is>
          <t>PO</t>
        </is>
      </c>
      <c r="D1" s="12" t="inlineStr">
        <is>
          <t>Amount</t>
        </is>
      </c>
      <c r="E1" s="12" t="inlineStr">
        <is>
          <t>Date</t>
        </is>
      </c>
      <c r="F1" s="12" t="inlineStr">
        <is>
          <t>Description</t>
        </is>
      </c>
    </row>
    <row r="2">
      <c r="A2" s="4" t="n">
        <v>18</v>
      </c>
      <c r="B2" s="4" t="inlineStr">
        <is>
          <t>2088999001</t>
        </is>
      </c>
      <c r="C2" s="4" t="inlineStr">
        <is>
          <t>2088999001</t>
        </is>
      </c>
      <c r="D2" s="13" t="n">
        <v>450</v>
      </c>
      <c r="E2" s="4" t="inlineStr">
        <is>
          <t>2026-06-20</t>
        </is>
      </c>
      <c r="F2" s="4" t="inlineStr">
        <is>
          <t>Remittance, no order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30" customWidth="1" min="5" max="5"/>
    <col width="17" customWidth="1" min="6" max="6"/>
  </cols>
  <sheetData>
    <row r="1">
      <c r="A1" s="12" t="inlineStr">
        <is>
          <t>File row</t>
        </is>
      </c>
      <c r="B1" s="12" t="inlineStr">
        <is>
          <t>PO</t>
        </is>
      </c>
      <c r="C1" s="12" t="inlineStr">
        <is>
          <t>Category</t>
        </is>
      </c>
      <c r="D1" s="12" t="inlineStr">
        <is>
          <t>Amount</t>
        </is>
      </c>
      <c r="E1" s="12" t="inlineStr">
        <is>
          <t>Description</t>
        </is>
      </c>
      <c r="F1" s="12" t="inlineStr">
        <is>
          <t>Has invoice</t>
        </is>
      </c>
    </row>
    <row r="2">
      <c r="A2" s="4" t="n">
        <v>7</v>
      </c>
      <c r="B2" s="4" t="inlineStr">
        <is>
          <t>2088999002</t>
        </is>
      </c>
      <c r="C2" s="4" t="inlineStr">
        <is>
          <t>Freight</t>
        </is>
      </c>
      <c r="D2" s="13" t="n">
        <v>12</v>
      </c>
      <c r="E2" s="4" t="inlineStr">
        <is>
          <t>Freight charge</t>
        </is>
      </c>
      <c r="F2" s="4" t="b">
        <v>0</v>
      </c>
    </row>
    <row r="3">
      <c r="A3" s="4" t="n">
        <v>10</v>
      </c>
      <c r="B3" s="4" t="inlineStr">
        <is>
          <t>2088012084</t>
        </is>
      </c>
      <c r="C3" s="4" t="inlineStr">
        <is>
          <t>Commission</t>
        </is>
      </c>
      <c r="D3" s="13" t="n">
        <v>30</v>
      </c>
      <c r="E3" s="4" t="inlineStr">
        <is>
          <t>Commission and referral fee</t>
        </is>
      </c>
      <c r="F3" s="4" t="b">
        <v>1</v>
      </c>
    </row>
    <row r="4">
      <c r="A4" s="4" t="n">
        <v>11</v>
      </c>
      <c r="B4" s="4" t="inlineStr">
        <is>
          <t>2088012168</t>
        </is>
      </c>
      <c r="C4" s="4" t="inlineStr">
        <is>
          <t>Commission</t>
        </is>
      </c>
      <c r="D4" s="13" t="n">
        <v>30</v>
      </c>
      <c r="E4" s="4" t="inlineStr">
        <is>
          <t>Commission and referral fee</t>
        </is>
      </c>
      <c r="F4" s="4" t="b">
        <v>1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2" customWidth="1" min="4" max="4"/>
    <col width="11" customWidth="1" min="5" max="5"/>
  </cols>
  <sheetData>
    <row r="1">
      <c r="A1" s="12" t="inlineStr">
        <is>
          <t>File row</t>
        </is>
      </c>
      <c r="B1" s="12" t="inlineStr">
        <is>
          <t>PO</t>
        </is>
      </c>
      <c r="C1" s="12" t="inlineStr">
        <is>
          <t>Amount</t>
        </is>
      </c>
      <c r="D1" s="12" t="inlineStr">
        <is>
          <t>Reason</t>
        </is>
      </c>
      <c r="E1" s="12" t="inlineStr">
        <is>
          <t>File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2026-09-21T21:04:45Z</dcterms:created>
  <dcterms:modified xmlns:dcterms="http://purl.org/dc/terms/" xmlns:xsi="http://www.w3.org/2001/XMLSchema-instance" xsi:type="dcterms:W3CDTF">2026-09-21T21:04:45Z</dcterms:modified>
</cp:coreProperties>
</file>